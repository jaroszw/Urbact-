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RBACT-\1. DOKUMENTY BUDŻETOWE\Do druku\"/>
    </mc:Choice>
  </mc:AlternateContent>
  <bookViews>
    <workbookView xWindow="0" yWindow="0" windowWidth="14280" windowHeight="12075" tabRatio="990" activeTab="2"/>
  </bookViews>
  <sheets>
    <sheet name="Tab1-Doch" sheetId="1" r:id="rId1"/>
    <sheet name="Tab,2-wyd." sheetId="2" r:id="rId2"/>
    <sheet name="inw" sheetId="4" r:id="rId3"/>
  </sheets>
  <definedNames>
    <definedName name="_xlnm.Print_Area" localSheetId="2">inw!$A$1:$M$36</definedName>
    <definedName name="Print_Titles_0" localSheetId="1">'Tab,2-wyd.'!$8:$9</definedName>
    <definedName name="Print_Titles_0" localSheetId="0">'Tab1-Doch'!$8:$8</definedName>
    <definedName name="Print_Titles_0_0" localSheetId="1">'Tab,2-wyd.'!$8:$9</definedName>
    <definedName name="Print_Titles_0_0" localSheetId="0">'Tab1-Doch'!$8:$8</definedName>
    <definedName name="Print_Titles_0_0_0" localSheetId="1">'Tab,2-wyd.'!$8:$9</definedName>
    <definedName name="Print_Titles_0_0_0" localSheetId="0">'Tab1-Doch'!$8:$8</definedName>
    <definedName name="Print_Titles_0_0_0_0" localSheetId="1">'Tab,2-wyd.'!$8:$9</definedName>
    <definedName name="Print_Titles_0_0_0_0" localSheetId="0">'Tab1-Doch'!$8:$8</definedName>
    <definedName name="_xlnm.Print_Titles" localSheetId="1">'Tab,2-wyd.'!$8:$9</definedName>
    <definedName name="_xlnm.Print_Titles" localSheetId="0">'Tab1-Doch'!$8:$8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2" l="1"/>
  <c r="G15" i="4" l="1"/>
  <c r="G17" i="4" l="1"/>
  <c r="G16" i="4"/>
  <c r="F13" i="4"/>
  <c r="I13" i="4" s="1"/>
  <c r="E13" i="4"/>
  <c r="F12" i="4"/>
  <c r="I12" i="4" s="1"/>
  <c r="E12" i="4"/>
  <c r="I11" i="4"/>
  <c r="F15" i="4" l="1"/>
  <c r="E15" i="4"/>
  <c r="E16" i="4" s="1"/>
  <c r="F17" i="4" l="1"/>
  <c r="I17" i="4" s="1"/>
  <c r="F16" i="4"/>
  <c r="I16" i="4" s="1"/>
  <c r="E17" i="4"/>
  <c r="E31" i="4" s="1"/>
  <c r="F31" i="4" l="1"/>
  <c r="I15" i="4"/>
  <c r="I10" i="4"/>
  <c r="I31" i="4" l="1"/>
  <c r="G31" i="4"/>
</calcChain>
</file>

<file path=xl/sharedStrings.xml><?xml version="1.0" encoding="utf-8"?>
<sst xmlns="http://schemas.openxmlformats.org/spreadsheetml/2006/main" count="87" uniqueCount="63">
  <si>
    <t>ZM-1</t>
  </si>
  <si>
    <t>Dz./
rozdz./
§</t>
  </si>
  <si>
    <t>Wyszczególnienie</t>
  </si>
  <si>
    <t>zmniejszenia</t>
  </si>
  <si>
    <t>zwiększenia</t>
  </si>
  <si>
    <t>DOCHODY OGÓŁEM</t>
  </si>
  <si>
    <t>Dochody gminne</t>
  </si>
  <si>
    <t>Dochody bieżące</t>
  </si>
  <si>
    <t>ZM-2</t>
  </si>
  <si>
    <t>Dz.
rozdz.
§</t>
  </si>
  <si>
    <t>WYDATKI OGÓŁEM</t>
  </si>
  <si>
    <t>Zadania własne gminy</t>
  </si>
  <si>
    <t>Wydatki bieżące</t>
  </si>
  <si>
    <t>Rzeszów,</t>
  </si>
  <si>
    <t/>
  </si>
  <si>
    <t>Zestawienie zobowiązań Miasta Rzeszowa    WPF</t>
  </si>
  <si>
    <t>Dział / rozdział/&amp;</t>
  </si>
  <si>
    <t>Nazwa przedsięwzięcia</t>
  </si>
  <si>
    <t>Cel przedsięwzięcia</t>
  </si>
  <si>
    <t>Termin realizacji</t>
  </si>
  <si>
    <t>Wartość całkowita</t>
  </si>
  <si>
    <t>limit zobowiązań</t>
  </si>
  <si>
    <t>w tym : UE</t>
  </si>
  <si>
    <t>środki własne</t>
  </si>
  <si>
    <t>2021-2022</t>
  </si>
  <si>
    <t>majątkowe</t>
  </si>
  <si>
    <t>bieżące</t>
  </si>
  <si>
    <t>Wdrożenie dobrych praktyk i wymiana doświadczeń w zakresie wspierania przedsiębiorczości i lokalnej gospodarki europejskich miast.</t>
  </si>
  <si>
    <t>Projekt: "Tech Revolution" Sieci transferowe - Druga fala</t>
  </si>
  <si>
    <t>§ 4017</t>
  </si>
  <si>
    <t>Wynagrodzenia osobowe pracowników</t>
  </si>
  <si>
    <t>§ 4019</t>
  </si>
  <si>
    <t>§ 4117</t>
  </si>
  <si>
    <t>Składki na ubezpieczenia społeczne</t>
  </si>
  <si>
    <t>§ 4119</t>
  </si>
  <si>
    <t>§ 4127</t>
  </si>
  <si>
    <t>Składki na Fundusz Pracy</t>
  </si>
  <si>
    <r>
      <rPr>
        <b/>
        <sz val="10"/>
        <rFont val="Arial"/>
        <family val="2"/>
        <charset val="238"/>
      </rPr>
      <t>§</t>
    </r>
    <r>
      <rPr>
        <b/>
        <i/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>4129</t>
    </r>
  </si>
  <si>
    <t>§ 4217</t>
  </si>
  <si>
    <t xml:space="preserve">Koszty biurowe i administracyjne </t>
  </si>
  <si>
    <t>§ 4219</t>
  </si>
  <si>
    <t>§ 4427</t>
  </si>
  <si>
    <t>Podróże służbowe zagraniczne</t>
  </si>
  <si>
    <t>§ 4429</t>
  </si>
  <si>
    <t>§ 4177</t>
  </si>
  <si>
    <t>Wynagrodzenia bezosobowe</t>
  </si>
  <si>
    <t>§ 4179</t>
  </si>
  <si>
    <t>§ 4307</t>
  </si>
  <si>
    <t>Zakup usług pozostałych</t>
  </si>
  <si>
    <t>§ 4309</t>
  </si>
  <si>
    <t>§ 4397</t>
  </si>
  <si>
    <t>Zakup usług obejmujących wykonanie ekspertyz, analiz i opinii </t>
  </si>
  <si>
    <t>§ 4399</t>
  </si>
  <si>
    <t>Wydatki jednostki budżetowej</t>
  </si>
  <si>
    <t>Projekt: „Tech Revolution" Sieć Transferu – druga fala</t>
  </si>
  <si>
    <t>Zmiany dochodów jednostki budżetowej</t>
  </si>
  <si>
    <t>Dz.750</t>
  </si>
  <si>
    <t xml:space="preserve">Administracja publiczna </t>
  </si>
  <si>
    <t>Rozdz. 75095</t>
  </si>
  <si>
    <t xml:space="preserve">Pozostała działalność </t>
  </si>
  <si>
    <t>Dotacje celowe w ramach programów finansowanych z udziałem środków europejskich</t>
  </si>
  <si>
    <t>§2057</t>
  </si>
  <si>
    <t xml:space="preserve">Wydział Promocji i Współpracy Międzynarodowej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</si>
</sst>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m/yyyy"/>
    <numFmt numFmtId="165" formatCode="#,##0.0000\ &quot;zł&quot;"/>
    <numFmt numFmtId="166" formatCode="#,##0.00\ &quot;zł&quot;"/>
  </numFmts>
  <fonts count="9" x14ac:knownFonts="1"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sz val="12"/>
      <name val="Times New Roman CE"/>
      <charset val="238"/>
    </font>
    <font>
      <b/>
      <sz val="10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/>
  </cellStyleXfs>
  <cellXfs count="12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3" fontId="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Border="1" applyAlignment="1">
      <alignment horizontal="right"/>
    </xf>
    <xf numFmtId="3" fontId="1" fillId="0" borderId="0" xfId="0" applyNumberFormat="1" applyFont="1" applyBorder="1"/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/>
    </xf>
    <xf numFmtId="0" fontId="2" fillId="0" borderId="7" xfId="0" applyFont="1" applyBorder="1" applyAlignment="1">
      <alignment wrapText="1"/>
    </xf>
    <xf numFmtId="3" fontId="2" fillId="0" borderId="7" xfId="0" applyNumberFormat="1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wrapText="1"/>
    </xf>
    <xf numFmtId="3" fontId="2" fillId="0" borderId="9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3" fontId="1" fillId="0" borderId="9" xfId="0" applyNumberFormat="1" applyFont="1" applyBorder="1"/>
    <xf numFmtId="0" fontId="0" fillId="0" borderId="9" xfId="0" applyBorder="1"/>
    <xf numFmtId="3" fontId="0" fillId="0" borderId="9" xfId="0" applyNumberFormat="1" applyBorder="1"/>
    <xf numFmtId="0" fontId="0" fillId="0" borderId="10" xfId="0" applyFont="1" applyBorder="1"/>
    <xf numFmtId="3" fontId="0" fillId="0" borderId="0" xfId="0" applyNumberFormat="1" applyBorder="1"/>
    <xf numFmtId="0" fontId="0" fillId="0" borderId="0" xfId="0" applyFont="1" applyBorder="1"/>
    <xf numFmtId="0" fontId="0" fillId="0" borderId="0" xfId="0" applyFont="1"/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2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12" xfId="0" applyFont="1" applyBorder="1" applyAlignment="1">
      <alignment vertical="top"/>
    </xf>
    <xf numFmtId="3" fontId="1" fillId="0" borderId="13" xfId="0" applyNumberFormat="1" applyFont="1" applyBorder="1" applyAlignment="1">
      <alignment vertical="top" wrapText="1"/>
    </xf>
    <xf numFmtId="3" fontId="1" fillId="0" borderId="0" xfId="0" applyNumberFormat="1" applyFont="1"/>
    <xf numFmtId="3" fontId="1" fillId="0" borderId="12" xfId="0" applyNumberFormat="1" applyFont="1" applyBorder="1"/>
    <xf numFmtId="3" fontId="1" fillId="0" borderId="14" xfId="0" applyNumberFormat="1" applyFont="1" applyBorder="1" applyAlignment="1">
      <alignment vertical="top" wrapText="1"/>
    </xf>
    <xf numFmtId="3" fontId="1" fillId="0" borderId="5" xfId="0" applyNumberFormat="1" applyFont="1" applyBorder="1"/>
    <xf numFmtId="0" fontId="0" fillId="0" borderId="17" xfId="0" applyFont="1" applyBorder="1"/>
    <xf numFmtId="3" fontId="1" fillId="0" borderId="12" xfId="0" applyNumberFormat="1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wrapText="1"/>
    </xf>
    <xf numFmtId="0" fontId="8" fillId="0" borderId="0" xfId="0" applyFont="1"/>
    <xf numFmtId="0" fontId="6" fillId="0" borderId="18" xfId="0" applyFont="1" applyBorder="1" applyAlignment="1">
      <alignment wrapText="1"/>
    </xf>
    <xf numFmtId="3" fontId="6" fillId="0" borderId="18" xfId="0" applyNumberFormat="1" applyFont="1" applyBorder="1"/>
    <xf numFmtId="0" fontId="2" fillId="0" borderId="12" xfId="0" applyFont="1" applyBorder="1" applyAlignment="1">
      <alignment vertical="top" wrapText="1"/>
    </xf>
    <xf numFmtId="165" fontId="0" fillId="0" borderId="0" xfId="0" applyNumberFormat="1" applyFont="1"/>
    <xf numFmtId="0" fontId="1" fillId="0" borderId="0" xfId="1" applyFont="1"/>
    <xf numFmtId="0" fontId="2" fillId="0" borderId="0" xfId="1" applyFont="1" applyAlignment="1">
      <alignment horizontal="right"/>
    </xf>
    <xf numFmtId="0" fontId="1" fillId="0" borderId="0" xfId="1" applyFont="1" applyAlignment="1">
      <alignment horizontal="right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center"/>
    </xf>
    <xf numFmtId="0" fontId="2" fillId="0" borderId="4" xfId="1" applyFont="1" applyBorder="1" applyAlignment="1">
      <alignment horizontal="left" vertical="center"/>
    </xf>
    <xf numFmtId="3" fontId="2" fillId="0" borderId="4" xfId="1" applyNumberFormat="1" applyFont="1" applyBorder="1" applyAlignment="1">
      <alignment horizontal="right" vertical="center"/>
    </xf>
    <xf numFmtId="0" fontId="2" fillId="0" borderId="19" xfId="1" applyFont="1" applyBorder="1" applyAlignment="1">
      <alignment horizontal="right" vertical="center"/>
    </xf>
    <xf numFmtId="0" fontId="2" fillId="0" borderId="19" xfId="1" applyFont="1" applyBorder="1" applyAlignment="1">
      <alignment horizontal="left" vertical="center"/>
    </xf>
    <xf numFmtId="0" fontId="2" fillId="0" borderId="5" xfId="1" applyFont="1" applyBorder="1" applyAlignment="1">
      <alignment horizontal="right" vertical="center"/>
    </xf>
    <xf numFmtId="0" fontId="2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49" fontId="1" fillId="0" borderId="1" xfId="1" applyNumberFormat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3" fontId="1" fillId="0" borderId="13" xfId="0" applyNumberFormat="1" applyFont="1" applyFill="1" applyBorder="1" applyAlignment="1">
      <alignment vertical="top" wrapText="1"/>
    </xf>
    <xf numFmtId="3" fontId="1" fillId="0" borderId="12" xfId="0" applyNumberFormat="1" applyFont="1" applyBorder="1" applyAlignment="1">
      <alignment vertical="top"/>
    </xf>
    <xf numFmtId="3" fontId="1" fillId="0" borderId="12" xfId="0" applyNumberFormat="1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3" fontId="1" fillId="0" borderId="1" xfId="0" applyNumberFormat="1" applyFont="1" applyFill="1" applyBorder="1"/>
    <xf numFmtId="0" fontId="2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 applyAlignment="1"/>
    <xf numFmtId="0" fontId="5" fillId="0" borderId="1" xfId="1" applyFont="1" applyFill="1" applyBorder="1" applyAlignment="1">
      <alignment horizontal="center"/>
    </xf>
    <xf numFmtId="3" fontId="1" fillId="0" borderId="1" xfId="0" applyNumberFormat="1" applyFont="1" applyFill="1" applyBorder="1" applyAlignment="1"/>
    <xf numFmtId="166" fontId="1" fillId="0" borderId="1" xfId="0" applyNumberFormat="1" applyFont="1" applyFill="1" applyBorder="1"/>
    <xf numFmtId="166" fontId="0" fillId="0" borderId="1" xfId="0" applyNumberFormat="1" applyFill="1" applyBorder="1"/>
    <xf numFmtId="166" fontId="0" fillId="0" borderId="0" xfId="0" applyNumberFormat="1"/>
    <xf numFmtId="3" fontId="2" fillId="0" borderId="20" xfId="0" applyNumberFormat="1" applyFont="1" applyBorder="1"/>
    <xf numFmtId="0" fontId="4" fillId="0" borderId="4" xfId="0" applyFont="1" applyBorder="1" applyAlignment="1">
      <alignment horizontal="center" vertical="center"/>
    </xf>
    <xf numFmtId="166" fontId="1" fillId="0" borderId="4" xfId="1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2">
    <cellStyle name="Normalny" xfId="0" builtinId="0"/>
    <cellStyle name="Normalny_Druk od Ani (plan finansowy)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7"/>
  <sheetViews>
    <sheetView view="pageBreakPreview" zoomScaleNormal="100" workbookViewId="0">
      <selection activeCell="A5" sqref="A5:D5"/>
    </sheetView>
  </sheetViews>
  <sheetFormatPr defaultRowHeight="12.75" x14ac:dyDescent="0.2"/>
  <cols>
    <col min="1" max="1" width="11.85546875"/>
    <col min="2" max="2" width="40.140625"/>
    <col min="3" max="4" width="13.42578125"/>
    <col min="5" max="5" width="16.28515625"/>
    <col min="6" max="16" width="10"/>
    <col min="17" max="1025" width="8.28515625"/>
  </cols>
  <sheetData>
    <row r="1" spans="1:16" ht="15" customHeight="1" x14ac:dyDescent="0.2">
      <c r="A1" s="1"/>
      <c r="B1" s="2"/>
      <c r="C1" s="2"/>
      <c r="D1" s="1" t="s">
        <v>0</v>
      </c>
      <c r="E1" s="1"/>
    </row>
    <row r="2" spans="1:16" ht="25.5" x14ac:dyDescent="0.2">
      <c r="A2" s="1"/>
      <c r="B2" s="3" t="s">
        <v>54</v>
      </c>
      <c r="C2" s="2"/>
      <c r="D2" s="1"/>
      <c r="E2" s="1"/>
    </row>
    <row r="3" spans="1:16" ht="25.5" x14ac:dyDescent="0.2">
      <c r="A3" s="1"/>
      <c r="B3" s="3" t="s">
        <v>62</v>
      </c>
      <c r="C3" s="2"/>
      <c r="D3" s="1"/>
      <c r="E3" s="1"/>
    </row>
    <row r="4" spans="1:16" x14ac:dyDescent="0.2">
      <c r="A4" s="1"/>
      <c r="B4" s="4"/>
      <c r="C4" s="4"/>
      <c r="D4" s="5"/>
      <c r="E4" s="5"/>
    </row>
    <row r="5" spans="1:16" s="7" customFormat="1" ht="12.75" customHeight="1" x14ac:dyDescent="0.25">
      <c r="A5" s="121" t="s">
        <v>55</v>
      </c>
      <c r="B5" s="121"/>
      <c r="C5" s="121"/>
      <c r="D5" s="121"/>
      <c r="E5" s="6"/>
    </row>
    <row r="6" spans="1:16" s="10" customFormat="1" x14ac:dyDescent="0.2">
      <c r="A6" s="8"/>
      <c r="B6" s="9"/>
      <c r="C6" s="9"/>
      <c r="D6" s="9"/>
      <c r="E6" s="9"/>
    </row>
    <row r="7" spans="1:16" x14ac:dyDescent="0.2">
      <c r="A7" s="80"/>
      <c r="B7" s="79"/>
      <c r="C7" s="79"/>
      <c r="D7" s="81"/>
      <c r="E7" s="1"/>
    </row>
    <row r="8" spans="1:16" ht="41.25" customHeight="1" x14ac:dyDescent="0.2">
      <c r="A8" s="82" t="s">
        <v>1</v>
      </c>
      <c r="B8" s="83" t="s">
        <v>2</v>
      </c>
      <c r="C8" s="84" t="s">
        <v>3</v>
      </c>
      <c r="D8" s="13" t="s">
        <v>4</v>
      </c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s="22" customFormat="1" ht="11.25" x14ac:dyDescent="0.2">
      <c r="A9" s="85">
        <v>1</v>
      </c>
      <c r="B9" s="86">
        <v>2</v>
      </c>
      <c r="C9" s="87">
        <v>3</v>
      </c>
      <c r="D9" s="19">
        <v>4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s="24" customFormat="1" ht="24.75" customHeight="1" thickBot="1" x14ac:dyDescent="0.25">
      <c r="A10" s="88"/>
      <c r="B10" s="89" t="s">
        <v>5</v>
      </c>
      <c r="C10" s="90"/>
      <c r="D10" s="119">
        <v>81812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 customHeight="1" thickTop="1" thickBot="1" x14ac:dyDescent="0.25">
      <c r="A11" s="91"/>
      <c r="B11" s="92" t="s">
        <v>6</v>
      </c>
      <c r="C11" s="91"/>
      <c r="D11" s="119">
        <v>81812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 customHeight="1" thickTop="1" thickBot="1" x14ac:dyDescent="0.25">
      <c r="A12" s="93" t="s">
        <v>56</v>
      </c>
      <c r="B12" s="94" t="s">
        <v>57</v>
      </c>
      <c r="C12" s="93"/>
      <c r="D12" s="119">
        <v>81812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s="25" customFormat="1" ht="15" customHeight="1" thickTop="1" thickBot="1" x14ac:dyDescent="0.25">
      <c r="A13" s="95" t="s">
        <v>58</v>
      </c>
      <c r="B13" s="96" t="s">
        <v>59</v>
      </c>
      <c r="C13" s="95"/>
      <c r="D13" s="119">
        <v>81812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15" customHeight="1" thickTop="1" thickBot="1" x14ac:dyDescent="0.25">
      <c r="A14" s="97"/>
      <c r="B14" s="98" t="s">
        <v>7</v>
      </c>
      <c r="C14" s="99"/>
      <c r="D14" s="119">
        <v>81812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39.75" thickTop="1" thickBot="1" x14ac:dyDescent="0.25">
      <c r="A15" s="100" t="s">
        <v>61</v>
      </c>
      <c r="B15" s="101" t="s">
        <v>60</v>
      </c>
      <c r="C15" s="99"/>
      <c r="D15" s="119">
        <v>81812</v>
      </c>
      <c r="E15" s="27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3.5" thickTop="1" x14ac:dyDescent="0.2"/>
    <row r="17" ht="30" customHeight="1" x14ac:dyDescent="0.2"/>
  </sheetData>
  <mergeCells count="1">
    <mergeCell ref="A5:D5"/>
  </mergeCells>
  <printOptions horizontalCentered="1"/>
  <pageMargins left="0.78749999999999998" right="0.78749999999999998" top="0.59027777777777801" bottom="0.59027777777777801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2"/>
  <sheetViews>
    <sheetView view="pageBreakPreview" topLeftCell="A5" zoomScaleNormal="100" zoomScaleSheetLayoutView="100" workbookViewId="0">
      <selection activeCell="D27" sqref="D27:D28"/>
    </sheetView>
  </sheetViews>
  <sheetFormatPr defaultRowHeight="12.75" x14ac:dyDescent="0.2"/>
  <cols>
    <col min="1" max="1" width="10"/>
    <col min="2" max="2" width="43.5703125" customWidth="1"/>
    <col min="3" max="3" width="17"/>
    <col min="4" max="4" width="13.7109375" customWidth="1"/>
    <col min="5" max="1025" width="8.28515625"/>
  </cols>
  <sheetData>
    <row r="1" spans="1:12" x14ac:dyDescent="0.2">
      <c r="A1" s="1"/>
      <c r="B1" s="2"/>
      <c r="C1" s="2"/>
      <c r="D1" s="1" t="s">
        <v>8</v>
      </c>
    </row>
    <row r="2" spans="1:12" ht="25.5" x14ac:dyDescent="0.2">
      <c r="A2" s="1"/>
      <c r="B2" s="3" t="s">
        <v>54</v>
      </c>
      <c r="C2" s="2"/>
      <c r="D2" s="1"/>
    </row>
    <row r="3" spans="1:12" ht="25.5" x14ac:dyDescent="0.2">
      <c r="A3" s="1"/>
      <c r="B3" s="3" t="s">
        <v>62</v>
      </c>
      <c r="C3" s="2"/>
      <c r="D3" s="1"/>
    </row>
    <row r="4" spans="1:12" x14ac:dyDescent="0.2">
      <c r="A4" s="1"/>
      <c r="B4" s="28"/>
      <c r="C4" s="28"/>
      <c r="D4" s="5"/>
    </row>
    <row r="5" spans="1:12" s="7" customFormat="1" ht="15" customHeight="1" x14ac:dyDescent="0.25">
      <c r="A5" s="122" t="s">
        <v>53</v>
      </c>
      <c r="B5" s="122"/>
      <c r="C5" s="122"/>
      <c r="D5" s="122"/>
    </row>
    <row r="6" spans="1:12" s="10" customFormat="1" x14ac:dyDescent="0.2">
      <c r="A6" s="8"/>
      <c r="B6" s="9"/>
      <c r="C6" s="9"/>
      <c r="D6" s="9"/>
    </row>
    <row r="7" spans="1:12" x14ac:dyDescent="0.2">
      <c r="A7" s="11"/>
      <c r="D7" s="1"/>
    </row>
    <row r="8" spans="1:12" ht="41.25" customHeight="1" x14ac:dyDescent="0.2">
      <c r="A8" s="29" t="s">
        <v>9</v>
      </c>
      <c r="B8" s="29" t="s">
        <v>2</v>
      </c>
      <c r="C8" s="12" t="s">
        <v>3</v>
      </c>
      <c r="D8" s="13" t="s">
        <v>4</v>
      </c>
    </row>
    <row r="9" spans="1:12" s="22" customFormat="1" ht="11.25" x14ac:dyDescent="0.2">
      <c r="A9" s="30">
        <v>1</v>
      </c>
      <c r="B9" s="31">
        <v>2</v>
      </c>
      <c r="C9" s="32">
        <v>3</v>
      </c>
      <c r="D9" s="33">
        <v>4</v>
      </c>
    </row>
    <row r="10" spans="1:12" ht="24" customHeight="1" thickBot="1" x14ac:dyDescent="0.25">
      <c r="A10" s="34"/>
      <c r="B10" s="35" t="s">
        <v>10</v>
      </c>
      <c r="C10" s="118">
        <v>3</v>
      </c>
      <c r="D10" s="36"/>
    </row>
    <row r="11" spans="1:12" ht="21" customHeight="1" thickTop="1" x14ac:dyDescent="0.2">
      <c r="A11" s="37"/>
      <c r="B11" s="38" t="s">
        <v>11</v>
      </c>
      <c r="C11" s="117"/>
      <c r="D11" s="39"/>
    </row>
    <row r="12" spans="1:12" ht="18" customHeight="1" x14ac:dyDescent="0.2">
      <c r="A12" s="40">
        <v>750</v>
      </c>
      <c r="B12" s="38"/>
      <c r="C12" s="39"/>
      <c r="D12" s="39"/>
    </row>
    <row r="13" spans="1:12" s="42" customFormat="1" ht="18" customHeight="1" x14ac:dyDescent="0.2">
      <c r="A13" s="41">
        <v>75095</v>
      </c>
      <c r="B13" s="75"/>
      <c r="C13" s="76"/>
      <c r="D13" s="76"/>
    </row>
    <row r="14" spans="1:12" ht="18" customHeight="1" x14ac:dyDescent="0.2">
      <c r="A14" s="105"/>
      <c r="B14" s="106" t="s">
        <v>12</v>
      </c>
      <c r="C14" s="107"/>
      <c r="D14" s="114"/>
    </row>
    <row r="15" spans="1:12" s="46" customFormat="1" ht="18" customHeight="1" x14ac:dyDescent="0.2">
      <c r="A15" s="108" t="s">
        <v>29</v>
      </c>
      <c r="B15" s="109" t="s">
        <v>30</v>
      </c>
      <c r="C15" s="110"/>
      <c r="D15" s="115">
        <v>27318</v>
      </c>
      <c r="G15" s="47"/>
      <c r="H15" s="48"/>
      <c r="I15" s="27"/>
      <c r="L15"/>
    </row>
    <row r="16" spans="1:12" ht="18" customHeight="1" x14ac:dyDescent="0.2">
      <c r="A16" s="108" t="s">
        <v>31</v>
      </c>
      <c r="B16" s="109" t="s">
        <v>30</v>
      </c>
      <c r="C16" s="110"/>
      <c r="D16" s="115">
        <v>4821</v>
      </c>
      <c r="E16" s="46"/>
      <c r="F16" s="46"/>
      <c r="G16" s="47"/>
      <c r="H16" s="48"/>
    </row>
    <row r="17" spans="1:13" s="49" customFormat="1" ht="18" customHeight="1" x14ac:dyDescent="0.2">
      <c r="A17" s="108" t="s">
        <v>32</v>
      </c>
      <c r="B17" s="109" t="s">
        <v>33</v>
      </c>
      <c r="C17" s="110"/>
      <c r="D17" s="115">
        <v>4696</v>
      </c>
      <c r="G17" s="47"/>
      <c r="I17" s="27"/>
      <c r="L17"/>
    </row>
    <row r="18" spans="1:13" ht="18" customHeight="1" x14ac:dyDescent="0.2">
      <c r="A18" s="108" t="s">
        <v>34</v>
      </c>
      <c r="B18" s="109" t="s">
        <v>33</v>
      </c>
      <c r="C18" s="107"/>
      <c r="D18" s="114">
        <v>829</v>
      </c>
      <c r="G18" s="27"/>
      <c r="I18" s="27"/>
    </row>
    <row r="19" spans="1:13" ht="18.75" customHeight="1" x14ac:dyDescent="0.2">
      <c r="A19" s="108" t="s">
        <v>35</v>
      </c>
      <c r="B19" s="109" t="s">
        <v>36</v>
      </c>
      <c r="C19" s="111"/>
      <c r="D19" s="114">
        <v>669</v>
      </c>
      <c r="G19" s="27"/>
      <c r="I19" s="27"/>
    </row>
    <row r="20" spans="1:13" ht="18" customHeight="1" x14ac:dyDescent="0.2">
      <c r="A20" s="112" t="s">
        <v>37</v>
      </c>
      <c r="B20" s="109" t="s">
        <v>36</v>
      </c>
      <c r="C20" s="107"/>
      <c r="D20" s="114">
        <v>118</v>
      </c>
      <c r="G20" s="27"/>
      <c r="I20" s="27"/>
      <c r="L20" s="45"/>
      <c r="M20" s="43"/>
    </row>
    <row r="21" spans="1:13" ht="18.75" customHeight="1" x14ac:dyDescent="0.2">
      <c r="A21" s="108" t="s">
        <v>38</v>
      </c>
      <c r="B21" s="109" t="s">
        <v>39</v>
      </c>
      <c r="C21" s="110"/>
      <c r="D21" s="115">
        <v>981</v>
      </c>
      <c r="L21" s="45"/>
      <c r="M21" s="44"/>
    </row>
    <row r="22" spans="1:13" ht="18.75" customHeight="1" x14ac:dyDescent="0.2">
      <c r="A22" s="108" t="s">
        <v>40</v>
      </c>
      <c r="B22" s="109" t="s">
        <v>39</v>
      </c>
      <c r="C22" s="111"/>
      <c r="D22" s="114">
        <v>173</v>
      </c>
      <c r="G22" s="4"/>
      <c r="I22" s="27"/>
      <c r="L22" s="45"/>
      <c r="M22" s="43"/>
    </row>
    <row r="23" spans="1:13" ht="18" customHeight="1" x14ac:dyDescent="0.2">
      <c r="A23" s="108" t="s">
        <v>41</v>
      </c>
      <c r="B23" s="110" t="s">
        <v>42</v>
      </c>
      <c r="C23" s="111"/>
      <c r="D23" s="114">
        <v>14566</v>
      </c>
      <c r="I23" s="27"/>
      <c r="L23" s="43"/>
      <c r="M23" s="43"/>
    </row>
    <row r="24" spans="1:13" ht="18.75" customHeight="1" x14ac:dyDescent="0.2">
      <c r="A24" s="108" t="s">
        <v>43</v>
      </c>
      <c r="B24" s="110" t="s">
        <v>42</v>
      </c>
      <c r="C24" s="111"/>
      <c r="D24" s="114">
        <v>2570</v>
      </c>
      <c r="L24" s="43"/>
      <c r="M24" s="43"/>
    </row>
    <row r="25" spans="1:13" ht="18.75" customHeight="1" x14ac:dyDescent="0.2">
      <c r="A25" s="108" t="s">
        <v>44</v>
      </c>
      <c r="B25" s="110" t="s">
        <v>45</v>
      </c>
      <c r="C25" s="111"/>
      <c r="D25" s="114">
        <v>4046</v>
      </c>
      <c r="I25" s="4"/>
    </row>
    <row r="26" spans="1:13" ht="18" customHeight="1" x14ac:dyDescent="0.2">
      <c r="A26" s="108" t="s">
        <v>46</v>
      </c>
      <c r="B26" s="110" t="s">
        <v>45</v>
      </c>
      <c r="C26" s="113"/>
      <c r="D26" s="114">
        <v>714</v>
      </c>
    </row>
    <row r="27" spans="1:13" ht="18" customHeight="1" x14ac:dyDescent="0.2">
      <c r="A27" s="108" t="s">
        <v>47</v>
      </c>
      <c r="B27" s="110" t="s">
        <v>48</v>
      </c>
      <c r="C27" s="111"/>
      <c r="D27" s="114">
        <v>25490</v>
      </c>
    </row>
    <row r="28" spans="1:13" x14ac:dyDescent="0.2">
      <c r="A28" s="108" t="s">
        <v>49</v>
      </c>
      <c r="B28" s="110" t="s">
        <v>48</v>
      </c>
      <c r="C28" s="113"/>
      <c r="D28" s="114">
        <v>4498</v>
      </c>
    </row>
    <row r="29" spans="1:13" ht="25.5" x14ac:dyDescent="0.2">
      <c r="A29" s="108" t="s">
        <v>50</v>
      </c>
      <c r="B29" s="109" t="s">
        <v>51</v>
      </c>
      <c r="C29" s="113"/>
      <c r="D29" s="114">
        <v>4046</v>
      </c>
    </row>
    <row r="30" spans="1:13" ht="25.5" x14ac:dyDescent="0.2">
      <c r="A30" s="108" t="s">
        <v>52</v>
      </c>
      <c r="B30" s="109" t="s">
        <v>51</v>
      </c>
      <c r="C30" s="111"/>
      <c r="D30" s="114">
        <v>714</v>
      </c>
    </row>
    <row r="31" spans="1:13" x14ac:dyDescent="0.2">
      <c r="D31" s="116"/>
    </row>
    <row r="32" spans="1:13" x14ac:dyDescent="0.2">
      <c r="A32" s="1" t="s">
        <v>13</v>
      </c>
      <c r="B32" s="120">
        <v>44382</v>
      </c>
      <c r="D32" s="116">
        <f>SUM(D15:D31)</f>
        <v>96249</v>
      </c>
    </row>
  </sheetData>
  <mergeCells count="1">
    <mergeCell ref="A5:D5"/>
  </mergeCells>
  <printOptions horizontalCentered="1"/>
  <pageMargins left="0.59027777777777801" right="0.59027777777777801" top="0.59027777777777801" bottom="0.59027777777777801" header="0.51180555555555496" footer="0.51180555555555496"/>
  <pageSetup paperSize="9" firstPageNumber="0" orientation="portrait" r:id="rId1"/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2"/>
  <sheetViews>
    <sheetView tabSelected="1" view="pageBreakPreview" zoomScale="115" zoomScaleNormal="80" zoomScaleSheetLayoutView="115" workbookViewId="0">
      <selection activeCell="A3" sqref="A3:I3"/>
    </sheetView>
  </sheetViews>
  <sheetFormatPr defaultRowHeight="12.75" outlineLevelRow="1" x14ac:dyDescent="0.2"/>
  <cols>
    <col min="1" max="1" width="10.5703125" style="49"/>
    <col min="2" max="2" width="32.42578125" style="49"/>
    <col min="3" max="3" width="25" style="49"/>
    <col min="4" max="4" width="5.28515625" style="49"/>
    <col min="5" max="5" width="13.28515625" style="49" customWidth="1"/>
    <col min="6" max="6" width="13.140625" style="49" customWidth="1"/>
    <col min="7" max="7" width="13.5703125" style="49" customWidth="1"/>
    <col min="8" max="8" width="8.5703125" style="49" customWidth="1"/>
    <col min="9" max="9" width="9.7109375" style="49" bestFit="1" customWidth="1"/>
    <col min="10" max="10" width="8.28515625" style="49"/>
    <col min="11" max="11" width="15.85546875" style="49"/>
    <col min="12" max="1025" width="8.28515625" style="49"/>
  </cols>
  <sheetData>
    <row r="1" spans="1:1024" x14ac:dyDescent="0.2">
      <c r="A1"/>
      <c r="B1"/>
      <c r="C1"/>
      <c r="D1"/>
      <c r="E1"/>
      <c r="F1" s="1"/>
      <c r="G1" s="1"/>
      <c r="H1" s="1"/>
      <c r="I1" s="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9.5" customHeight="1" x14ac:dyDescent="0.2">
      <c r="A2"/>
      <c r="B2"/>
      <c r="C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24.75" customHeight="1" x14ac:dyDescent="0.25">
      <c r="A3" s="122" t="s">
        <v>15</v>
      </c>
      <c r="B3" s="122"/>
      <c r="C3" s="122"/>
      <c r="D3" s="122"/>
      <c r="E3" s="122"/>
      <c r="F3" s="122"/>
      <c r="G3" s="122"/>
      <c r="H3" s="122"/>
      <c r="I3" s="12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x14ac:dyDescent="0.2">
      <c r="A4"/>
      <c r="B4" s="5"/>
      <c r="C4" s="5"/>
      <c r="D4" s="5"/>
      <c r="E4" s="5"/>
      <c r="F4" s="28"/>
      <c r="G4" s="28"/>
      <c r="H4" s="28"/>
      <c r="I4" s="28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95" customHeight="1" x14ac:dyDescent="0.2">
      <c r="A5"/>
      <c r="B5" s="5"/>
      <c r="C5" s="5"/>
      <c r="D5" s="5"/>
      <c r="E5" s="5"/>
      <c r="F5" s="28"/>
      <c r="G5" s="28"/>
      <c r="H5" s="28"/>
      <c r="I5" s="28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40.15" customHeight="1" x14ac:dyDescent="0.2">
      <c r="A6" s="123" t="s">
        <v>16</v>
      </c>
      <c r="B6" s="124" t="s">
        <v>17</v>
      </c>
      <c r="C6" s="58" t="s">
        <v>18</v>
      </c>
      <c r="D6" s="125" t="s">
        <v>19</v>
      </c>
      <c r="E6" s="59" t="s">
        <v>20</v>
      </c>
      <c r="F6" s="29">
        <v>2021</v>
      </c>
      <c r="G6" s="29">
        <v>2022</v>
      </c>
      <c r="H6" s="29"/>
      <c r="I6" s="29" t="s">
        <v>21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9.75" customHeight="1" x14ac:dyDescent="0.2">
      <c r="A7" s="123"/>
      <c r="B7" s="124"/>
      <c r="C7" s="60"/>
      <c r="D7" s="125"/>
      <c r="E7" s="61"/>
      <c r="F7" s="61"/>
      <c r="G7" s="61"/>
      <c r="H7" s="61"/>
      <c r="I7" s="61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1.25" x14ac:dyDescent="0.2">
      <c r="A8" s="16">
        <v>1</v>
      </c>
      <c r="B8" s="17">
        <v>2</v>
      </c>
      <c r="C8" s="18"/>
      <c r="D8" s="19">
        <v>3</v>
      </c>
      <c r="E8" s="19">
        <v>4</v>
      </c>
      <c r="F8" s="19">
        <v>7</v>
      </c>
      <c r="G8" s="19"/>
      <c r="H8" s="16"/>
      <c r="I8" s="19"/>
      <c r="J8" s="21"/>
      <c r="K8" s="21"/>
      <c r="L8" s="21"/>
      <c r="M8" s="21"/>
    </row>
    <row r="9" spans="1:1024" ht="15" customHeight="1" x14ac:dyDescent="0.2">
      <c r="A9" s="51"/>
      <c r="B9" s="50" t="s">
        <v>14</v>
      </c>
      <c r="C9" s="62"/>
      <c r="D9" s="62"/>
      <c r="E9" s="62" t="s">
        <v>14</v>
      </c>
      <c r="F9" s="51"/>
      <c r="G9" s="51"/>
      <c r="H9" s="51"/>
      <c r="I9" s="51"/>
      <c r="K9"/>
    </row>
    <row r="10" spans="1:1024" ht="87.75" customHeight="1" x14ac:dyDescent="0.2">
      <c r="A10" s="71">
        <v>75095</v>
      </c>
      <c r="B10" s="3" t="s">
        <v>28</v>
      </c>
      <c r="C10" s="52" t="s">
        <v>27</v>
      </c>
      <c r="D10" s="53" t="s">
        <v>24</v>
      </c>
      <c r="E10" s="102">
        <v>333599</v>
      </c>
      <c r="F10" s="102">
        <v>96249</v>
      </c>
      <c r="G10" s="103">
        <v>237350</v>
      </c>
      <c r="H10" s="70"/>
      <c r="I10" s="103">
        <f>F10+G10</f>
        <v>333599</v>
      </c>
      <c r="K10" s="65"/>
    </row>
    <row r="11" spans="1:1024" ht="17.25" customHeight="1" x14ac:dyDescent="0.2">
      <c r="A11" s="71"/>
      <c r="B11" s="73" t="s">
        <v>25</v>
      </c>
      <c r="C11" s="53"/>
      <c r="D11" s="53"/>
      <c r="E11" s="102">
        <v>0</v>
      </c>
      <c r="F11" s="102">
        <v>0</v>
      </c>
      <c r="G11" s="103">
        <v>0</v>
      </c>
      <c r="H11" s="70"/>
      <c r="I11" s="103">
        <f>F11+G11</f>
        <v>0</v>
      </c>
      <c r="K11" s="65"/>
    </row>
    <row r="12" spans="1:1024" ht="17.25" customHeight="1" x14ac:dyDescent="0.2">
      <c r="A12" s="71"/>
      <c r="B12" s="77" t="s">
        <v>22</v>
      </c>
      <c r="C12" s="53"/>
      <c r="D12" s="53"/>
      <c r="E12" s="102">
        <f>(E11*0.9)</f>
        <v>0</v>
      </c>
      <c r="F12" s="102">
        <f>F11*0.9</f>
        <v>0</v>
      </c>
      <c r="G12" s="103">
        <v>0</v>
      </c>
      <c r="H12" s="70"/>
      <c r="I12" s="103">
        <f>F12+G12</f>
        <v>0</v>
      </c>
      <c r="K12" s="65"/>
    </row>
    <row r="13" spans="1:1024" ht="17.25" customHeight="1" x14ac:dyDescent="0.2">
      <c r="A13" s="71"/>
      <c r="B13" s="52" t="s">
        <v>23</v>
      </c>
      <c r="C13" s="53"/>
      <c r="D13" s="53"/>
      <c r="E13" s="102">
        <f>E11*0.1</f>
        <v>0</v>
      </c>
      <c r="F13" s="102">
        <f>F11*0.1</f>
        <v>0</v>
      </c>
      <c r="G13" s="103">
        <v>0</v>
      </c>
      <c r="H13" s="70"/>
      <c r="I13" s="103">
        <f>F13+G13</f>
        <v>0</v>
      </c>
      <c r="K13" s="65"/>
    </row>
    <row r="14" spans="1:1024" ht="17.25" customHeight="1" x14ac:dyDescent="0.2">
      <c r="A14" s="71"/>
      <c r="B14" s="52"/>
      <c r="C14" s="53"/>
      <c r="D14" s="53"/>
      <c r="E14" s="102"/>
      <c r="F14" s="102"/>
      <c r="G14" s="103"/>
      <c r="H14" s="70"/>
      <c r="I14" s="103"/>
      <c r="K14" s="65"/>
    </row>
    <row r="15" spans="1:1024" ht="15" customHeight="1" x14ac:dyDescent="0.2">
      <c r="A15" s="63"/>
      <c r="B15" s="72" t="s">
        <v>26</v>
      </c>
      <c r="C15" s="53"/>
      <c r="D15" s="53"/>
      <c r="E15" s="64">
        <f>E10-E11</f>
        <v>333599</v>
      </c>
      <c r="F15" s="66">
        <f>F10-F11</f>
        <v>96249</v>
      </c>
      <c r="G15" s="66">
        <f>G10</f>
        <v>237350</v>
      </c>
      <c r="H15" s="66"/>
      <c r="I15" s="66">
        <f>F15+G15</f>
        <v>333599</v>
      </c>
    </row>
    <row r="16" spans="1:1024" ht="15" customHeight="1" x14ac:dyDescent="0.2">
      <c r="A16" s="63"/>
      <c r="B16" s="77" t="s">
        <v>22</v>
      </c>
      <c r="C16" s="53"/>
      <c r="D16" s="53"/>
      <c r="E16" s="64">
        <f>E15*0.85</f>
        <v>283559.14999999997</v>
      </c>
      <c r="F16" s="64">
        <f>F15*0.85</f>
        <v>81811.649999999994</v>
      </c>
      <c r="G16" s="66">
        <f>G15*0.85</f>
        <v>201747.5</v>
      </c>
      <c r="H16" s="66"/>
      <c r="I16" s="66">
        <f>SUM(F16:G16)</f>
        <v>283559.15000000002</v>
      </c>
    </row>
    <row r="17" spans="1:16" ht="15" customHeight="1" x14ac:dyDescent="0.2">
      <c r="A17" s="54"/>
      <c r="B17" s="52" t="s">
        <v>23</v>
      </c>
      <c r="C17" s="53"/>
      <c r="D17" s="53"/>
      <c r="E17" s="64">
        <f>E15*0.15</f>
        <v>50039.85</v>
      </c>
      <c r="F17" s="64">
        <f>F15*0.15</f>
        <v>14437.35</v>
      </c>
      <c r="G17" s="104">
        <f>G15*0.15</f>
        <v>35602.5</v>
      </c>
      <c r="H17" s="104"/>
      <c r="I17" s="104">
        <f>SUM(F17:G17)</f>
        <v>50039.85</v>
      </c>
      <c r="K17" s="78"/>
      <c r="P17" s="69"/>
    </row>
    <row r="18" spans="1:16" ht="15" customHeight="1" x14ac:dyDescent="0.2">
      <c r="A18" s="54"/>
      <c r="B18" s="52"/>
      <c r="C18" s="53"/>
      <c r="D18" s="53"/>
      <c r="E18" s="64"/>
      <c r="F18" s="66"/>
      <c r="G18" s="66"/>
      <c r="H18" s="66"/>
      <c r="I18" s="66"/>
    </row>
    <row r="19" spans="1:16" ht="15" customHeight="1" x14ac:dyDescent="0.2">
      <c r="A19" s="54"/>
      <c r="B19" s="52" t="s">
        <v>14</v>
      </c>
      <c r="C19" s="53"/>
      <c r="D19" s="53"/>
      <c r="E19" s="64"/>
      <c r="F19" s="66"/>
      <c r="G19" s="66"/>
      <c r="H19" s="66"/>
      <c r="I19" s="66"/>
    </row>
    <row r="20" spans="1:16" ht="15" hidden="1" customHeight="1" outlineLevel="1" x14ac:dyDescent="0.2">
      <c r="A20" s="54"/>
      <c r="B20" s="52"/>
      <c r="C20" s="53"/>
      <c r="D20" s="53"/>
      <c r="E20" s="64"/>
      <c r="F20" s="66"/>
      <c r="G20" s="66"/>
      <c r="H20" s="66"/>
      <c r="I20" s="66"/>
    </row>
    <row r="21" spans="1:16" ht="15" hidden="1" customHeight="1" outlineLevel="1" x14ac:dyDescent="0.2">
      <c r="A21" s="54"/>
      <c r="B21" s="52" t="s">
        <v>14</v>
      </c>
      <c r="C21" s="53"/>
      <c r="D21" s="53"/>
      <c r="E21" s="64"/>
      <c r="F21" s="66"/>
      <c r="G21" s="66"/>
      <c r="H21" s="66"/>
      <c r="I21" s="66"/>
    </row>
    <row r="22" spans="1:16" ht="15" hidden="1" customHeight="1" outlineLevel="1" x14ac:dyDescent="0.2">
      <c r="A22" s="54"/>
      <c r="B22" s="52"/>
      <c r="C22" s="53"/>
      <c r="D22" s="53"/>
      <c r="E22" s="64"/>
      <c r="F22" s="66"/>
      <c r="G22" s="66"/>
      <c r="H22" s="66"/>
      <c r="I22" s="66"/>
    </row>
    <row r="23" spans="1:16" ht="15" hidden="1" customHeight="1" outlineLevel="1" x14ac:dyDescent="0.2">
      <c r="A23" s="54"/>
      <c r="B23" s="52" t="s">
        <v>14</v>
      </c>
      <c r="C23" s="53"/>
      <c r="D23" s="53"/>
      <c r="E23" s="64"/>
      <c r="F23" s="66"/>
      <c r="G23" s="66"/>
      <c r="H23" s="66"/>
      <c r="I23" s="66"/>
    </row>
    <row r="24" spans="1:16" ht="15" hidden="1" customHeight="1" outlineLevel="1" x14ac:dyDescent="0.2">
      <c r="A24" s="54"/>
      <c r="B24" s="52"/>
      <c r="C24" s="53"/>
      <c r="D24" s="53"/>
      <c r="E24" s="64"/>
      <c r="F24" s="66"/>
      <c r="G24" s="66"/>
      <c r="H24" s="66"/>
      <c r="I24" s="66"/>
    </row>
    <row r="25" spans="1:16" ht="15" hidden="1" customHeight="1" outlineLevel="1" x14ac:dyDescent="0.2">
      <c r="A25" s="54"/>
      <c r="B25" s="52"/>
      <c r="C25" s="53"/>
      <c r="D25" s="53"/>
      <c r="E25" s="64"/>
      <c r="F25" s="66"/>
      <c r="G25" s="66"/>
      <c r="H25" s="66"/>
      <c r="I25" s="66"/>
    </row>
    <row r="26" spans="1:16" ht="15" hidden="1" customHeight="1" outlineLevel="1" x14ac:dyDescent="0.2">
      <c r="A26" s="54"/>
      <c r="B26" s="52" t="s">
        <v>14</v>
      </c>
      <c r="C26" s="53"/>
      <c r="D26" s="53"/>
      <c r="E26" s="64"/>
      <c r="F26" s="66"/>
      <c r="G26" s="66"/>
      <c r="H26" s="66"/>
      <c r="I26" s="66"/>
    </row>
    <row r="27" spans="1:16" ht="15" hidden="1" customHeight="1" outlineLevel="1" x14ac:dyDescent="0.2">
      <c r="A27" s="54"/>
      <c r="B27" s="52"/>
      <c r="C27" s="53"/>
      <c r="D27" s="53"/>
      <c r="E27" s="64"/>
      <c r="F27" s="66"/>
      <c r="G27" s="66"/>
      <c r="H27" s="66"/>
      <c r="I27" s="66"/>
    </row>
    <row r="28" spans="1:16" ht="15" hidden="1" customHeight="1" outlineLevel="1" x14ac:dyDescent="0.2">
      <c r="A28" s="54"/>
      <c r="B28" s="52"/>
      <c r="C28" s="53"/>
      <c r="D28" s="53"/>
      <c r="E28" s="64"/>
      <c r="F28" s="66"/>
      <c r="G28" s="66"/>
      <c r="H28" s="66"/>
      <c r="I28" s="66"/>
    </row>
    <row r="29" spans="1:16" ht="15" hidden="1" customHeight="1" outlineLevel="1" x14ac:dyDescent="0.2">
      <c r="A29" s="54"/>
      <c r="B29" s="52" t="s">
        <v>14</v>
      </c>
      <c r="C29" s="53"/>
      <c r="D29" s="53"/>
      <c r="E29" s="64"/>
      <c r="F29" s="66"/>
      <c r="G29" s="66"/>
      <c r="H29" s="66"/>
      <c r="I29" s="66"/>
    </row>
    <row r="30" spans="1:16" ht="15" hidden="1" customHeight="1" outlineLevel="1" x14ac:dyDescent="0.2">
      <c r="A30" s="54"/>
      <c r="B30" s="52" t="s">
        <v>14</v>
      </c>
      <c r="C30" s="53"/>
      <c r="D30" s="53"/>
      <c r="E30" s="64"/>
      <c r="F30" s="66"/>
      <c r="G30" s="66"/>
      <c r="H30" s="66"/>
      <c r="I30" s="66"/>
    </row>
    <row r="31" spans="1:16" ht="15" customHeight="1" collapsed="1" x14ac:dyDescent="0.2">
      <c r="A31" s="54"/>
      <c r="B31" s="52"/>
      <c r="C31" s="53"/>
      <c r="D31" s="53"/>
      <c r="E31" s="64">
        <f>SUM(E16:E17)</f>
        <v>333598.99999999994</v>
      </c>
      <c r="F31" s="66">
        <f>SUM(F16:F17)</f>
        <v>96249</v>
      </c>
      <c r="G31" s="66">
        <f>SUM(G16:G17)</f>
        <v>237350</v>
      </c>
      <c r="H31" s="66"/>
      <c r="I31" s="66">
        <f>SUM(I16:I17)</f>
        <v>333599</v>
      </c>
    </row>
    <row r="32" spans="1:16" ht="15" customHeight="1" x14ac:dyDescent="0.2">
      <c r="A32" s="54"/>
      <c r="B32" s="52" t="s">
        <v>14</v>
      </c>
      <c r="C32" s="53"/>
      <c r="D32" s="53"/>
      <c r="E32" s="64"/>
      <c r="F32" s="66"/>
      <c r="G32" s="66"/>
      <c r="H32" s="66"/>
      <c r="I32" s="66"/>
    </row>
    <row r="33" spans="1:16" ht="15" customHeight="1" x14ac:dyDescent="0.2">
      <c r="A33" s="54"/>
      <c r="B33" s="52"/>
      <c r="C33" s="53"/>
      <c r="D33" s="53"/>
      <c r="E33" s="64"/>
      <c r="F33" s="66"/>
      <c r="G33" s="66"/>
      <c r="H33" s="66"/>
      <c r="I33" s="66"/>
    </row>
    <row r="34" spans="1:16" ht="15" customHeight="1" x14ac:dyDescent="0.2">
      <c r="A34" s="55"/>
      <c r="B34" s="56" t="s">
        <v>14</v>
      </c>
      <c r="C34" s="57"/>
      <c r="D34" s="57"/>
      <c r="E34" s="67"/>
      <c r="F34" s="68"/>
      <c r="G34" s="68"/>
      <c r="H34" s="68"/>
      <c r="I34" s="68"/>
    </row>
    <row r="35" spans="1:16" ht="15.75" customHeight="1" x14ac:dyDescent="0.2">
      <c r="K35" s="74"/>
    </row>
    <row r="42" spans="1:16" x14ac:dyDescent="0.2">
      <c r="P42" s="69"/>
    </row>
  </sheetData>
  <mergeCells count="4">
    <mergeCell ref="A3:I3"/>
    <mergeCell ref="A6:A7"/>
    <mergeCell ref="B6:B7"/>
    <mergeCell ref="D6:D7"/>
  </mergeCells>
  <pageMargins left="0.59027777777777801" right="0.59027777777777801" top="0.59027777777777801" bottom="0.59027777777777801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11</vt:i4>
      </vt:variant>
    </vt:vector>
  </HeadingPairs>
  <TitlesOfParts>
    <vt:vector size="14" baseType="lpstr">
      <vt:lpstr>Tab1-Doch</vt:lpstr>
      <vt:lpstr>Tab,2-wyd.</vt:lpstr>
      <vt:lpstr>inw</vt:lpstr>
      <vt:lpstr>inw!Obszar_wydruku</vt:lpstr>
      <vt:lpstr>'Tab,2-wyd.'!Print_Titles_0</vt:lpstr>
      <vt:lpstr>'Tab1-Doch'!Print_Titles_0</vt:lpstr>
      <vt:lpstr>'Tab,2-wyd.'!Print_Titles_0_0</vt:lpstr>
      <vt:lpstr>'Tab1-Doch'!Print_Titles_0_0</vt:lpstr>
      <vt:lpstr>'Tab,2-wyd.'!Print_Titles_0_0_0</vt:lpstr>
      <vt:lpstr>'Tab1-Doch'!Print_Titles_0_0_0</vt:lpstr>
      <vt:lpstr>'Tab,2-wyd.'!Print_Titles_0_0_0_0</vt:lpstr>
      <vt:lpstr>'Tab1-Doch'!Print_Titles_0_0_0_0</vt:lpstr>
      <vt:lpstr>'Tab,2-wyd.'!Tytuły_wydruku</vt:lpstr>
      <vt:lpstr>'Tab1-Doch'!Tytuły_wydruku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QQ Factory</cp:lastModifiedBy>
  <cp:revision>9</cp:revision>
  <cp:lastPrinted>2021-07-02T09:06:55Z</cp:lastPrinted>
  <dcterms:created xsi:type="dcterms:W3CDTF">2018-06-09T18:12:21Z</dcterms:created>
  <dcterms:modified xsi:type="dcterms:W3CDTF">2022-02-17T17:53:43Z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