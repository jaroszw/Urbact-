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D:\BIURO\1. URBACT\1. DOKUMENTY BUDŻETOWE\Zmiana budżetowa_WPF\"/>
    </mc:Choice>
  </mc:AlternateContent>
  <xr:revisionPtr revIDLastSave="0" documentId="13_ncr:1_{8546B88A-C63D-474C-B1F2-4C093A2EF41D}" xr6:coauthVersionLast="36" xr6:coauthVersionMax="36" xr10:uidLastSave="{00000000-0000-0000-0000-000000000000}"/>
  <bookViews>
    <workbookView xWindow="0" yWindow="0" windowWidth="28800" windowHeight="12225" tabRatio="990" xr2:uid="{00000000-000D-0000-FFFF-FFFF00000000}"/>
  </bookViews>
  <sheets>
    <sheet name="inw" sheetId="4" r:id="rId1"/>
  </sheets>
  <definedNames>
    <definedName name="_xlnm.Print_Area" localSheetId="0">inw!$A$1:$J$17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4" l="1"/>
  <c r="F13" i="4" l="1"/>
  <c r="I13" i="4" s="1"/>
  <c r="E13" i="4"/>
  <c r="F12" i="4"/>
  <c r="I12" i="4" s="1"/>
  <c r="E12" i="4"/>
  <c r="I11" i="4"/>
  <c r="F15" i="4" l="1"/>
  <c r="E15" i="4"/>
  <c r="E16" i="4" s="1"/>
  <c r="F17" i="4" l="1"/>
  <c r="F16" i="4"/>
  <c r="E17" i="4"/>
</calcChain>
</file>

<file path=xl/sharedStrings.xml><?xml version="1.0" encoding="utf-8"?>
<sst xmlns="http://schemas.openxmlformats.org/spreadsheetml/2006/main" count="18" uniqueCount="15">
  <si>
    <t/>
  </si>
  <si>
    <t>Zestawienie zobowiązań Miasta Rzeszowa    WPF</t>
  </si>
  <si>
    <t>Dział / rozdział/&amp;</t>
  </si>
  <si>
    <t>Nazwa przedsięwzięcia</t>
  </si>
  <si>
    <t>Cel przedsięwzięcia</t>
  </si>
  <si>
    <t>Termin realizacji</t>
  </si>
  <si>
    <t>Wartość całkowita</t>
  </si>
  <si>
    <t>limit zobowiązań</t>
  </si>
  <si>
    <t>w tym : UE</t>
  </si>
  <si>
    <t>środki własne</t>
  </si>
  <si>
    <t>2021-2022</t>
  </si>
  <si>
    <t>majątkowe</t>
  </si>
  <si>
    <t>bieżące</t>
  </si>
  <si>
    <t>Wdrożenie dobrych praktyk i wymiana doświadczeń w zakresie wspierania przedsiębiorczości i lokalnej gospodarki europejskich miast.</t>
  </si>
  <si>
    <t>Projekt: "Tech Revolution" Sieci transferowe - Druga fala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</si>
</sst>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\ &quot;zł&quot;"/>
  </numFmts>
  <fonts count="6" x14ac:knownFonts="1"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sz val="8"/>
      <name val="Arial"/>
      <family val="2"/>
      <charset val="238"/>
    </font>
    <font>
      <i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0" fillId="0" borderId="0" xfId="0" applyFont="1"/>
    <xf numFmtId="0" fontId="1" fillId="0" borderId="3" xfId="0" applyFont="1" applyBorder="1" applyAlignment="1">
      <alignment vertical="top" wrapText="1"/>
    </xf>
    <xf numFmtId="0" fontId="1" fillId="0" borderId="3" xfId="0" applyFont="1" applyBorder="1"/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3" fontId="1" fillId="0" borderId="7" xfId="0" applyNumberFormat="1" applyFont="1" applyBorder="1" applyAlignment="1">
      <alignment vertical="top" wrapText="1"/>
    </xf>
    <xf numFmtId="3" fontId="1" fillId="0" borderId="0" xfId="0" applyNumberFormat="1" applyFont="1"/>
    <xf numFmtId="3" fontId="1" fillId="0" borderId="6" xfId="0" applyNumberFormat="1" applyFont="1" applyBorder="1"/>
    <xf numFmtId="3" fontId="1" fillId="0" borderId="6" xfId="0" applyNumberFormat="1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5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right" wrapText="1"/>
    </xf>
    <xf numFmtId="0" fontId="2" fillId="0" borderId="6" xfId="0" applyFont="1" applyBorder="1" applyAlignment="1">
      <alignment vertical="top" wrapText="1"/>
    </xf>
    <xf numFmtId="164" fontId="0" fillId="0" borderId="0" xfId="0" applyNumberFormat="1" applyFont="1"/>
    <xf numFmtId="3" fontId="1" fillId="0" borderId="7" xfId="0" applyNumberFormat="1" applyFont="1" applyFill="1" applyBorder="1" applyAlignment="1">
      <alignment vertical="top" wrapText="1"/>
    </xf>
    <xf numFmtId="3" fontId="1" fillId="0" borderId="6" xfId="0" applyNumberFormat="1" applyFont="1" applyBorder="1" applyAlignment="1">
      <alignment vertical="top"/>
    </xf>
    <xf numFmtId="3" fontId="1" fillId="0" borderId="6" xfId="0" applyNumberFormat="1" applyFont="1" applyBorder="1" applyAlignment="1">
      <alignment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H29"/>
  <sheetViews>
    <sheetView tabSelected="1" view="pageBreakPreview" zoomScaleNormal="80" zoomScaleSheetLayoutView="100" workbookViewId="0">
      <selection activeCell="G25" sqref="G25"/>
    </sheetView>
  </sheetViews>
  <sheetFormatPr defaultRowHeight="12.75" x14ac:dyDescent="0.2"/>
  <cols>
    <col min="1" max="1" width="10.5703125" style="13"/>
    <col min="2" max="2" width="32.42578125" style="13"/>
    <col min="3" max="3" width="25" style="13"/>
    <col min="4" max="4" width="5.28515625" style="13"/>
    <col min="5" max="5" width="13.28515625" style="13" customWidth="1"/>
    <col min="6" max="6" width="13.140625" style="13" hidden="1" customWidth="1"/>
    <col min="7" max="7" width="13.5703125" style="13" customWidth="1"/>
    <col min="8" max="8" width="8.5703125" style="13" customWidth="1"/>
    <col min="9" max="9" width="9.7109375" style="13" bestFit="1" customWidth="1"/>
    <col min="10" max="10" width="15.85546875" style="13"/>
    <col min="11" max="1022" width="8.28515625" style="13"/>
  </cols>
  <sheetData>
    <row r="1" spans="1:1021" x14ac:dyDescent="0.2">
      <c r="A1"/>
      <c r="B1"/>
      <c r="C1"/>
      <c r="D1"/>
      <c r="E1"/>
      <c r="F1" s="1"/>
      <c r="G1" s="1"/>
      <c r="H1" s="1"/>
      <c r="I1" s="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</row>
    <row r="2" spans="1:1021" ht="19.5" customHeight="1" x14ac:dyDescent="0.2">
      <c r="A2"/>
      <c r="B2"/>
      <c r="C2"/>
      <c r="D2" s="2"/>
      <c r="E2" s="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</row>
    <row r="3" spans="1:1021" ht="24.75" customHeight="1" x14ac:dyDescent="0.25">
      <c r="A3" s="38" t="s">
        <v>1</v>
      </c>
      <c r="B3" s="38"/>
      <c r="C3" s="38"/>
      <c r="D3" s="38"/>
      <c r="E3" s="38"/>
      <c r="F3" s="38"/>
      <c r="G3" s="38"/>
      <c r="H3" s="38"/>
      <c r="I3" s="38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</row>
    <row r="4" spans="1:1021" x14ac:dyDescent="0.2">
      <c r="A4"/>
      <c r="B4" s="4"/>
      <c r="C4" s="4"/>
      <c r="D4" s="4"/>
      <c r="E4" s="4"/>
      <c r="F4" s="11"/>
      <c r="G4" s="11"/>
      <c r="H4" s="11"/>
      <c r="I4" s="11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</row>
    <row r="5" spans="1:1021" ht="15.95" customHeight="1" x14ac:dyDescent="0.2">
      <c r="A5"/>
      <c r="B5" s="4"/>
      <c r="C5" s="4"/>
      <c r="D5" s="4"/>
      <c r="E5" s="4"/>
      <c r="F5" s="11"/>
      <c r="G5" s="11"/>
      <c r="H5" s="11"/>
      <c r="I5" s="11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</row>
    <row r="6" spans="1:1021" ht="40.15" customHeight="1" x14ac:dyDescent="0.2">
      <c r="A6" s="39" t="s">
        <v>2</v>
      </c>
      <c r="B6" s="40" t="s">
        <v>3</v>
      </c>
      <c r="C6" s="19" t="s">
        <v>4</v>
      </c>
      <c r="D6" s="41" t="s">
        <v>5</v>
      </c>
      <c r="E6" s="20" t="s">
        <v>6</v>
      </c>
      <c r="F6" s="12">
        <v>2021</v>
      </c>
      <c r="G6" s="12">
        <v>2022</v>
      </c>
      <c r="H6" s="12"/>
      <c r="I6" s="12" t="s">
        <v>7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</row>
    <row r="7" spans="1:1021" ht="9.75" customHeight="1" x14ac:dyDescent="0.2">
      <c r="A7" s="39"/>
      <c r="B7" s="40"/>
      <c r="C7" s="21"/>
      <c r="D7" s="41"/>
      <c r="E7" s="22"/>
      <c r="F7" s="22"/>
      <c r="G7" s="22"/>
      <c r="H7" s="22"/>
      <c r="I7" s="22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</row>
    <row r="8" spans="1:1021" s="10" customFormat="1" ht="11.25" x14ac:dyDescent="0.2">
      <c r="A8" s="5">
        <v>1</v>
      </c>
      <c r="B8" s="6">
        <v>2</v>
      </c>
      <c r="C8" s="7"/>
      <c r="D8" s="8">
        <v>3</v>
      </c>
      <c r="E8" s="8">
        <v>4</v>
      </c>
      <c r="F8" s="8">
        <v>7</v>
      </c>
      <c r="G8" s="8"/>
      <c r="H8" s="5"/>
      <c r="I8" s="8"/>
      <c r="J8" s="9"/>
    </row>
    <row r="9" spans="1:1021" ht="15" customHeight="1" x14ac:dyDescent="0.2">
      <c r="A9" s="15"/>
      <c r="B9" s="14" t="s">
        <v>0</v>
      </c>
      <c r="C9" s="23"/>
      <c r="D9" s="23"/>
      <c r="E9" s="23" t="s">
        <v>0</v>
      </c>
      <c r="F9" s="15"/>
      <c r="G9" s="15"/>
      <c r="H9" s="15"/>
      <c r="I9" s="15"/>
      <c r="J9"/>
    </row>
    <row r="10" spans="1:1021" ht="87.75" customHeight="1" x14ac:dyDescent="0.2">
      <c r="A10" s="29">
        <v>75095</v>
      </c>
      <c r="B10" s="3" t="s">
        <v>14</v>
      </c>
      <c r="C10" s="16" t="s">
        <v>13</v>
      </c>
      <c r="D10" s="17" t="s">
        <v>10</v>
      </c>
      <c r="E10" s="34">
        <v>333599</v>
      </c>
      <c r="F10" s="34">
        <v>96249</v>
      </c>
      <c r="G10" s="35">
        <v>287231</v>
      </c>
      <c r="H10" s="28"/>
      <c r="I10" s="35">
        <v>0</v>
      </c>
      <c r="J10" s="26"/>
    </row>
    <row r="11" spans="1:1021" ht="17.25" customHeight="1" x14ac:dyDescent="0.2">
      <c r="A11" s="29"/>
      <c r="B11" s="31" t="s">
        <v>11</v>
      </c>
      <c r="C11" s="17"/>
      <c r="D11" s="17"/>
      <c r="E11" s="34">
        <v>0</v>
      </c>
      <c r="F11" s="34">
        <v>0</v>
      </c>
      <c r="G11" s="35">
        <v>0</v>
      </c>
      <c r="H11" s="28"/>
      <c r="I11" s="35">
        <f>F11+G11</f>
        <v>0</v>
      </c>
      <c r="J11" s="26"/>
    </row>
    <row r="12" spans="1:1021" ht="17.25" customHeight="1" x14ac:dyDescent="0.2">
      <c r="A12" s="29"/>
      <c r="B12" s="32" t="s">
        <v>8</v>
      </c>
      <c r="C12" s="17"/>
      <c r="D12" s="17"/>
      <c r="E12" s="34">
        <f>(E11*0.9)</f>
        <v>0</v>
      </c>
      <c r="F12" s="34">
        <f>F11*0.9</f>
        <v>0</v>
      </c>
      <c r="G12" s="35">
        <v>0</v>
      </c>
      <c r="H12" s="28"/>
      <c r="I12" s="35">
        <f>F12+G12</f>
        <v>0</v>
      </c>
      <c r="J12" s="26"/>
    </row>
    <row r="13" spans="1:1021" ht="17.25" customHeight="1" x14ac:dyDescent="0.2">
      <c r="A13" s="29"/>
      <c r="B13" s="16" t="s">
        <v>9</v>
      </c>
      <c r="C13" s="17"/>
      <c r="D13" s="17"/>
      <c r="E13" s="34">
        <f>E11*0.1</f>
        <v>0</v>
      </c>
      <c r="F13" s="34">
        <f>F11*0.1</f>
        <v>0</v>
      </c>
      <c r="G13" s="35">
        <v>0</v>
      </c>
      <c r="H13" s="28"/>
      <c r="I13" s="35">
        <f>F13+G13</f>
        <v>0</v>
      </c>
      <c r="J13" s="26"/>
    </row>
    <row r="14" spans="1:1021" ht="17.25" customHeight="1" x14ac:dyDescent="0.2">
      <c r="A14" s="29"/>
      <c r="B14" s="16"/>
      <c r="C14" s="17"/>
      <c r="D14" s="17"/>
      <c r="E14" s="34"/>
      <c r="F14" s="34"/>
      <c r="G14" s="35"/>
      <c r="H14" s="28"/>
      <c r="I14" s="35"/>
      <c r="J14" s="26"/>
    </row>
    <row r="15" spans="1:1021" ht="15" customHeight="1" x14ac:dyDescent="0.2">
      <c r="A15" s="24"/>
      <c r="B15" s="30" t="s">
        <v>12</v>
      </c>
      <c r="C15" s="17"/>
      <c r="D15" s="17"/>
      <c r="E15" s="25">
        <f>E10-E11</f>
        <v>333599</v>
      </c>
      <c r="F15" s="27">
        <f>F10-F11</f>
        <v>96249</v>
      </c>
      <c r="G15" s="27">
        <f>G10</f>
        <v>287231</v>
      </c>
      <c r="H15" s="27"/>
      <c r="I15" s="27">
        <v>0</v>
      </c>
      <c r="L15" s="37"/>
      <c r="M15" s="37"/>
      <c r="N15" s="37"/>
    </row>
    <row r="16" spans="1:1021" ht="15" customHeight="1" x14ac:dyDescent="0.2">
      <c r="A16" s="24"/>
      <c r="B16" s="32" t="s">
        <v>8</v>
      </c>
      <c r="C16" s="17"/>
      <c r="D16" s="17"/>
      <c r="E16" s="25">
        <f>E15*0.85</f>
        <v>283559.14999999997</v>
      </c>
      <c r="F16" s="25">
        <f>F15*0.85</f>
        <v>81811.649999999994</v>
      </c>
      <c r="G16" s="27">
        <v>244197</v>
      </c>
      <c r="H16" s="27"/>
      <c r="I16" s="27">
        <v>0</v>
      </c>
      <c r="L16" s="37"/>
      <c r="M16" s="37"/>
      <c r="N16" s="37"/>
    </row>
    <row r="17" spans="1:14" ht="15" customHeight="1" x14ac:dyDescent="0.2">
      <c r="A17" s="18"/>
      <c r="B17" s="16" t="s">
        <v>9</v>
      </c>
      <c r="C17" s="17"/>
      <c r="D17" s="17"/>
      <c r="E17" s="25">
        <f>E15*0.15</f>
        <v>50039.85</v>
      </c>
      <c r="F17" s="25">
        <f>F15*0.15</f>
        <v>14437.35</v>
      </c>
      <c r="G17" s="36">
        <v>43035</v>
      </c>
      <c r="H17" s="36"/>
      <c r="I17" s="36">
        <v>0</v>
      </c>
      <c r="J17" s="33"/>
      <c r="L17" s="37"/>
      <c r="M17" s="37"/>
      <c r="N17" s="37"/>
    </row>
    <row r="18" spans="1:14" x14ac:dyDescent="0.2">
      <c r="L18" s="37"/>
      <c r="M18" s="37"/>
      <c r="N18" s="37"/>
    </row>
    <row r="19" spans="1:14" x14ac:dyDescent="0.2">
      <c r="L19" s="37"/>
      <c r="M19" s="37"/>
      <c r="N19" s="37"/>
    </row>
    <row r="20" spans="1:14" x14ac:dyDescent="0.2">
      <c r="L20" s="37"/>
      <c r="M20" s="37"/>
      <c r="N20" s="37"/>
    </row>
    <row r="21" spans="1:14" x14ac:dyDescent="0.2">
      <c r="L21" s="37"/>
      <c r="M21" s="37"/>
      <c r="N21" s="37"/>
    </row>
    <row r="22" spans="1:14" x14ac:dyDescent="0.2">
      <c r="L22" s="37"/>
      <c r="M22" s="37"/>
      <c r="N22" s="37"/>
    </row>
    <row r="23" spans="1:14" x14ac:dyDescent="0.2">
      <c r="L23" s="37"/>
      <c r="M23" s="37"/>
      <c r="N23" s="37"/>
    </row>
    <row r="24" spans="1:14" x14ac:dyDescent="0.2">
      <c r="L24" s="37"/>
      <c r="M24" s="37"/>
      <c r="N24" s="37"/>
    </row>
    <row r="25" spans="1:14" x14ac:dyDescent="0.2">
      <c r="L25" s="37"/>
      <c r="M25" s="37"/>
      <c r="N25" s="37"/>
    </row>
    <row r="26" spans="1:14" x14ac:dyDescent="0.2">
      <c r="L26" s="37"/>
      <c r="M26" s="37"/>
      <c r="N26" s="37"/>
    </row>
    <row r="27" spans="1:14" x14ac:dyDescent="0.2">
      <c r="L27" s="37"/>
      <c r="M27" s="37"/>
      <c r="N27" s="37"/>
    </row>
    <row r="28" spans="1:14" x14ac:dyDescent="0.2">
      <c r="L28" s="37"/>
      <c r="M28" s="37"/>
      <c r="N28" s="37"/>
    </row>
    <row r="29" spans="1:14" x14ac:dyDescent="0.2">
      <c r="L29" s="37"/>
      <c r="M29" s="37"/>
      <c r="N29" s="37"/>
    </row>
  </sheetData>
  <mergeCells count="4">
    <mergeCell ref="A3:I3"/>
    <mergeCell ref="A6:A7"/>
    <mergeCell ref="B6:B7"/>
    <mergeCell ref="D6:D7"/>
  </mergeCells>
  <pageMargins left="0.59027777777777801" right="0.59027777777777801" top="0.59027777777777801" bottom="0.59027777777777801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inw</vt:lpstr>
      <vt:lpstr>inw!Obszar_wydruku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</dc:creator>
  <cp:lastModifiedBy>Jarosz Wojciech</cp:lastModifiedBy>
  <cp:revision>9</cp:revision>
  <cp:lastPrinted>2021-07-02T09:06:55Z</cp:lastPrinted>
  <dcterms:created xsi:type="dcterms:W3CDTF">2018-06-09T18:12:21Z</dcterms:created>
  <dcterms:modified xsi:type="dcterms:W3CDTF">2022-01-14T11:48:16Z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